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59E25ED6-EFDC-4934-A306-CAD95EC73DA7}" xr6:coauthVersionLast="47" xr6:coauthVersionMax="47" xr10:uidLastSave="{00000000-0000-0000-0000-000000000000}"/>
  <bookViews>
    <workbookView xWindow="-120" yWindow="-120" windowWidth="26985" windowHeight="16440" xr2:uid="{00000000-000D-0000-FFFF-FFFF00000000}"/>
  </bookViews>
  <sheets>
    <sheet name="表1" sheetId="1" r:id="rId1"/>
  </sheets>
  <definedNames>
    <definedName name="_xlnm._FilterDatabase" localSheetId="0" hidden="1">表1!$A$1:$G$79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0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2" i="1"/>
  <c r="E63" i="1"/>
  <c r="E64" i="1"/>
  <c r="E65" i="1"/>
  <c r="E66" i="1"/>
  <c r="E67" i="1"/>
  <c r="E68" i="1"/>
  <c r="E71" i="1"/>
  <c r="E72" i="1"/>
  <c r="E73" i="1"/>
  <c r="E76" i="1"/>
  <c r="E77" i="1"/>
  <c r="E78" i="1"/>
  <c r="E79" i="1"/>
  <c r="E2" i="1"/>
</calcChain>
</file>

<file path=xl/sharedStrings.xml><?xml version="1.0" encoding="utf-8"?>
<sst xmlns="http://schemas.openxmlformats.org/spreadsheetml/2006/main" count="171" uniqueCount="66">
  <si>
    <t>Dispatch_Date</t>
  </si>
  <si>
    <t>Invoice NO.</t>
  </si>
  <si>
    <t>SKU</t>
  </si>
  <si>
    <t>Qty</t>
  </si>
  <si>
    <t>Amount</t>
  </si>
  <si>
    <t>DSIVDE20251210009</t>
  </si>
  <si>
    <t>P-PR100V2-EU-GY-20</t>
  </si>
  <si>
    <t>DSIVDE20260123007</t>
  </si>
  <si>
    <t>P-AC200PL-EU-GY-BL-010</t>
  </si>
  <si>
    <t>P-PR200V2-EU-GY-10</t>
  </si>
  <si>
    <t>P-PR30V2-EU-GY-BL-010</t>
  </si>
  <si>
    <t>DSIVDE20260206016</t>
  </si>
  <si>
    <t>A-CBC-D6D24-UN-L80-0396</t>
  </si>
  <si>
    <t>DSIVDE20260210050</t>
  </si>
  <si>
    <t>P-PR100V2-EU-GY-10</t>
  </si>
  <si>
    <t>DSIVDE20260303049</t>
  </si>
  <si>
    <t>A-B500BS-UN</t>
  </si>
  <si>
    <t>A-BS-NA-B5000-0334</t>
  </si>
  <si>
    <t>P-B500-UN-GY-BL-010</t>
  </si>
  <si>
    <t>P-PV100-UG-BK-LS-010</t>
  </si>
  <si>
    <t>P-PV200-UG-BK-MD-10</t>
  </si>
  <si>
    <t>P-PV350-UG-BK-LS-010</t>
  </si>
  <si>
    <t>P-SORA220-UG-BK-MD-10</t>
  </si>
  <si>
    <t>P-SORA500-UG-BK-MD-10</t>
  </si>
  <si>
    <t>P-B500K2-EU-GY-20</t>
  </si>
  <si>
    <t>DSIVDE20251222021</t>
  </si>
  <si>
    <t>P-B300K1-EU-GY-20</t>
  </si>
  <si>
    <t>DSIVDE20260121038</t>
  </si>
  <si>
    <t>combo with AC300, discount already</t>
  </si>
  <si>
    <t>P-AC300-EU-GY-BL-010</t>
  </si>
  <si>
    <t>P-AC50P-EU-GY-BL-010</t>
  </si>
  <si>
    <t>P-APEX300-EU-GY-20</t>
  </si>
  <si>
    <t>DSIVDE20260127005</t>
  </si>
  <si>
    <t>P-B300K2-EU-GY-BL-010</t>
  </si>
  <si>
    <t>DSIVDE20260206009</t>
  </si>
  <si>
    <t>A-BS-NA-B5000-0340</t>
  </si>
  <si>
    <t>A-EP2000-EU-CONTROL-034701</t>
  </si>
  <si>
    <t>A-EP2000-NA-SAH-0242</t>
  </si>
  <si>
    <t>A-ES-TS-HG-SFT240</t>
  </si>
  <si>
    <t>A-MT-AR-EU-SGP</t>
  </si>
  <si>
    <t>P-B700-UN-GY-BL-010</t>
  </si>
  <si>
    <t>P-EP2000-EU-WH-BL-020</t>
  </si>
  <si>
    <t>P-EP760-EU-WH-BL-010</t>
  </si>
  <si>
    <t>P-HV800-UN-GY-BL-020</t>
  </si>
  <si>
    <t>P-AC70P-EU-GY-BL-010</t>
  </si>
  <si>
    <t>DSIVDE20260112057</t>
  </si>
  <si>
    <t>A-PTC-NO-UN-P090D-P150D</t>
  </si>
  <si>
    <t>DSIVDE20260129055</t>
  </si>
  <si>
    <t>A-EP-C50A-UN-LNO-0387</t>
  </si>
  <si>
    <t>A-PAB-HUBA1-0371</t>
  </si>
  <si>
    <t>DSIVDE20260202033</t>
  </si>
  <si>
    <t>DSIVDE20260202053</t>
  </si>
  <si>
    <t>A-PWC-NO-EU-7090-XT90</t>
  </si>
  <si>
    <t>DSIVDE20260203076</t>
  </si>
  <si>
    <t>P-APEX300-EU-GY-BL-010</t>
  </si>
  <si>
    <t>DSIVDE20251218042</t>
  </si>
  <si>
    <t>P-AC180P-EU-GY-BL-010</t>
  </si>
  <si>
    <t>free samples</t>
  </si>
  <si>
    <t>P-AC50B-EU-GY-BL-010</t>
  </si>
  <si>
    <t>P-AC70-EU-GY-BL-010</t>
  </si>
  <si>
    <t>P-B500K1-EU-GY-10</t>
  </si>
  <si>
    <t>DSIVDE20260114055</t>
  </si>
  <si>
    <t>DSIVDE20251212034</t>
  </si>
  <si>
    <t>DSIVDE20260113025</t>
  </si>
  <si>
    <t>UnitPrice</t>
    <phoneticPr fontId="4" type="noConversion"/>
  </si>
  <si>
    <t>Remarks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</si>
</sst>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[$€-2]\ #,##0;[Red][$€-2]\ \-#,##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trike/>
      <sz val="11"/>
      <color theme="1"/>
      <name val="宋体"/>
      <family val="3"/>
      <charset val="134"/>
      <scheme val="minor"/>
    </font>
    <font>
      <strike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left" vertical="top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176" fontId="0" fillId="0" borderId="1" xfId="0" applyNumberFormat="1" applyBorder="1">
      <alignment vertical="center"/>
    </xf>
    <xf numFmtId="0" fontId="2" fillId="0" borderId="1" xfId="0" applyFont="1" applyBorder="1">
      <alignment vertical="center"/>
    </xf>
    <xf numFmtId="176" fontId="2" fillId="0" borderId="1" xfId="0" applyNumberFormat="1" applyFont="1" applyBorder="1">
      <alignment vertical="center"/>
    </xf>
    <xf numFmtId="0" fontId="1" fillId="0" borderId="1" xfId="0" applyFont="1" applyFill="1" applyBorder="1">
      <alignment vertical="center"/>
    </xf>
    <xf numFmtId="14" fontId="0" fillId="0" borderId="1" xfId="0" applyNumberFormat="1" applyBorder="1" applyAlignment="1">
      <alignment horizontal="left" vertical="top"/>
    </xf>
    <xf numFmtId="0" fontId="3" fillId="0" borderId="1" xfId="0" applyFont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90EE90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workbookViewId="0">
      <selection activeCell="G13" sqref="G13"/>
    </sheetView>
  </sheetViews>
  <sheetFormatPr defaultColWidth="9" defaultRowHeight="13.5" x14ac:dyDescent="0.15"/>
  <cols>
    <col min="1" max="1" width="14.875" customWidth="1"/>
    <col min="2" max="2" width="19.375" customWidth="1"/>
    <col min="3" max="3" width="29.375" customWidth="1"/>
    <col min="4" max="4" width="4.5" customWidth="1"/>
    <col min="5" max="5" width="12.5" bestFit="1" customWidth="1"/>
    <col min="6" max="6" width="13.75" bestFit="1" customWidth="1"/>
    <col min="7" max="7" width="38.25" bestFit="1" customWidth="1"/>
  </cols>
  <sheetData>
    <row r="1" spans="1:7" x14ac:dyDescent="0.15">
      <c r="A1" s="1" t="s">
        <v>0</v>
      </c>
      <c r="B1" s="2" t="s">
        <v>1</v>
      </c>
      <c r="C1" s="2" t="s">
        <v>2</v>
      </c>
      <c r="D1" s="2" t="s">
        <v>3</v>
      </c>
      <c r="E1" s="3" t="s">
        <v>64</v>
      </c>
      <c r="F1" s="3" t="s">
        <v>4</v>
      </c>
      <c r="G1" s="7" t="s">
        <v>65</v>
      </c>
    </row>
    <row r="2" spans="1:7" x14ac:dyDescent="0.15">
      <c r="A2" s="8">
        <v>46112</v>
      </c>
      <c r="B2" s="2" t="s">
        <v>5</v>
      </c>
      <c r="C2" s="2" t="s">
        <v>6</v>
      </c>
      <c r="D2" s="2">
        <v>40</v>
      </c>
      <c r="E2" s="4">
        <f>F2/D2</f>
        <v>307</v>
      </c>
      <c r="F2" s="4">
        <v>12280</v>
      </c>
      <c r="G2" s="4"/>
    </row>
    <row r="3" spans="1:7" x14ac:dyDescent="0.15">
      <c r="A3" s="8"/>
      <c r="B3" s="2" t="s">
        <v>7</v>
      </c>
      <c r="C3" s="2" t="s">
        <v>8</v>
      </c>
      <c r="D3" s="2">
        <v>48</v>
      </c>
      <c r="E3" s="4">
        <f t="shared" ref="E3:E66" si="0">F3/D3</f>
        <v>649</v>
      </c>
      <c r="F3" s="4">
        <v>31152</v>
      </c>
      <c r="G3" s="2"/>
    </row>
    <row r="4" spans="1:7" x14ac:dyDescent="0.15">
      <c r="A4" s="8"/>
      <c r="B4" s="2" t="s">
        <v>7</v>
      </c>
      <c r="C4" s="2" t="s">
        <v>9</v>
      </c>
      <c r="D4" s="2">
        <v>196</v>
      </c>
      <c r="E4" s="4">
        <f t="shared" si="0"/>
        <v>599</v>
      </c>
      <c r="F4" s="4">
        <v>117404</v>
      </c>
      <c r="G4" s="2"/>
    </row>
    <row r="5" spans="1:7" x14ac:dyDescent="0.15">
      <c r="A5" s="8"/>
      <c r="B5" s="2" t="s">
        <v>7</v>
      </c>
      <c r="C5" s="2" t="s">
        <v>10</v>
      </c>
      <c r="D5" s="2">
        <v>98</v>
      </c>
      <c r="E5" s="4">
        <f t="shared" si="0"/>
        <v>125</v>
      </c>
      <c r="F5" s="4">
        <v>12250</v>
      </c>
      <c r="G5" s="2"/>
    </row>
    <row r="6" spans="1:7" x14ac:dyDescent="0.15">
      <c r="A6" s="8">
        <v>46098</v>
      </c>
      <c r="B6" s="2" t="s">
        <v>5</v>
      </c>
      <c r="C6" s="2" t="s">
        <v>8</v>
      </c>
      <c r="D6" s="2">
        <v>102</v>
      </c>
      <c r="E6" s="4">
        <f t="shared" si="0"/>
        <v>649</v>
      </c>
      <c r="F6" s="4">
        <v>66198</v>
      </c>
      <c r="G6" s="2"/>
    </row>
    <row r="7" spans="1:7" x14ac:dyDescent="0.15">
      <c r="A7" s="8"/>
      <c r="B7" s="2" t="s">
        <v>11</v>
      </c>
      <c r="C7" s="2" t="s">
        <v>12</v>
      </c>
      <c r="D7" s="2">
        <v>45</v>
      </c>
      <c r="E7" s="4">
        <f t="shared" si="0"/>
        <v>30</v>
      </c>
      <c r="F7" s="4">
        <v>1350</v>
      </c>
      <c r="G7" s="2"/>
    </row>
    <row r="8" spans="1:7" x14ac:dyDescent="0.15">
      <c r="A8" s="8"/>
      <c r="B8" s="2" t="s">
        <v>13</v>
      </c>
      <c r="C8" s="2" t="s">
        <v>12</v>
      </c>
      <c r="D8" s="2">
        <v>50</v>
      </c>
      <c r="E8" s="4">
        <f t="shared" si="0"/>
        <v>30</v>
      </c>
      <c r="F8" s="4">
        <v>1500</v>
      </c>
      <c r="G8" s="2"/>
    </row>
    <row r="9" spans="1:7" x14ac:dyDescent="0.15">
      <c r="A9" s="8"/>
      <c r="B9" s="2" t="s">
        <v>5</v>
      </c>
      <c r="C9" s="2" t="s">
        <v>14</v>
      </c>
      <c r="D9" s="2">
        <v>400</v>
      </c>
      <c r="E9" s="4">
        <f t="shared" si="0"/>
        <v>307</v>
      </c>
      <c r="F9" s="4">
        <v>122800</v>
      </c>
      <c r="G9" s="2"/>
    </row>
    <row r="10" spans="1:7" x14ac:dyDescent="0.15">
      <c r="A10" s="8"/>
      <c r="B10" s="2" t="s">
        <v>15</v>
      </c>
      <c r="C10" s="2" t="s">
        <v>16</v>
      </c>
      <c r="D10" s="2">
        <v>3</v>
      </c>
      <c r="E10" s="4">
        <f t="shared" si="0"/>
        <v>68</v>
      </c>
      <c r="F10" s="4">
        <v>204</v>
      </c>
      <c r="G10" s="4"/>
    </row>
    <row r="11" spans="1:7" x14ac:dyDescent="0.15">
      <c r="A11" s="8"/>
      <c r="B11" s="2" t="s">
        <v>15</v>
      </c>
      <c r="C11" s="2" t="s">
        <v>17</v>
      </c>
      <c r="D11" s="2">
        <v>2</v>
      </c>
      <c r="E11" s="4">
        <f t="shared" si="0"/>
        <v>156</v>
      </c>
      <c r="F11" s="4">
        <v>312</v>
      </c>
      <c r="G11" s="2"/>
    </row>
    <row r="12" spans="1:7" x14ac:dyDescent="0.15">
      <c r="A12" s="8"/>
      <c r="B12" s="2" t="s">
        <v>15</v>
      </c>
      <c r="C12" s="2" t="s">
        <v>18</v>
      </c>
      <c r="D12" s="2">
        <v>3</v>
      </c>
      <c r="E12" s="4">
        <f t="shared" si="0"/>
        <v>850</v>
      </c>
      <c r="F12" s="4">
        <v>2550</v>
      </c>
      <c r="G12" s="2"/>
    </row>
    <row r="13" spans="1:7" x14ac:dyDescent="0.15">
      <c r="A13" s="8"/>
      <c r="B13" s="2" t="s">
        <v>15</v>
      </c>
      <c r="C13" s="2" t="s">
        <v>19</v>
      </c>
      <c r="D13" s="2">
        <v>18</v>
      </c>
      <c r="E13" s="4">
        <f t="shared" si="0"/>
        <v>71</v>
      </c>
      <c r="F13" s="4">
        <v>1278</v>
      </c>
      <c r="G13" s="2"/>
    </row>
    <row r="14" spans="1:7" x14ac:dyDescent="0.15">
      <c r="A14" s="8"/>
      <c r="B14" s="2" t="s">
        <v>15</v>
      </c>
      <c r="C14" s="2" t="s">
        <v>20</v>
      </c>
      <c r="D14" s="2">
        <v>16</v>
      </c>
      <c r="E14" s="4">
        <f t="shared" si="0"/>
        <v>170</v>
      </c>
      <c r="F14" s="4">
        <v>2720</v>
      </c>
      <c r="G14" s="2"/>
    </row>
    <row r="15" spans="1:7" x14ac:dyDescent="0.15">
      <c r="A15" s="8"/>
      <c r="B15" s="2" t="s">
        <v>15</v>
      </c>
      <c r="C15" s="2" t="s">
        <v>21</v>
      </c>
      <c r="D15" s="2">
        <v>16</v>
      </c>
      <c r="E15" s="4">
        <f t="shared" si="0"/>
        <v>299</v>
      </c>
      <c r="F15" s="4">
        <v>4784</v>
      </c>
      <c r="G15" s="2"/>
    </row>
    <row r="16" spans="1:7" x14ac:dyDescent="0.15">
      <c r="A16" s="8"/>
      <c r="B16" s="2" t="s">
        <v>15</v>
      </c>
      <c r="C16" s="2" t="s">
        <v>22</v>
      </c>
      <c r="D16" s="2">
        <v>16</v>
      </c>
      <c r="E16" s="4">
        <f t="shared" si="0"/>
        <v>147</v>
      </c>
      <c r="F16" s="4">
        <v>2352</v>
      </c>
      <c r="G16" s="2"/>
    </row>
    <row r="17" spans="1:7" x14ac:dyDescent="0.15">
      <c r="A17" s="8"/>
      <c r="B17" s="2" t="s">
        <v>15</v>
      </c>
      <c r="C17" s="2" t="s">
        <v>23</v>
      </c>
      <c r="D17" s="2">
        <v>12</v>
      </c>
      <c r="E17" s="4">
        <f t="shared" si="0"/>
        <v>303</v>
      </c>
      <c r="F17" s="4">
        <v>3636</v>
      </c>
      <c r="G17" s="2"/>
    </row>
    <row r="18" spans="1:7" x14ac:dyDescent="0.15">
      <c r="A18" s="8"/>
      <c r="B18" s="2" t="s">
        <v>13</v>
      </c>
      <c r="C18" s="2" t="s">
        <v>24</v>
      </c>
      <c r="D18" s="2">
        <v>36</v>
      </c>
      <c r="E18" s="4">
        <f t="shared" si="0"/>
        <v>973</v>
      </c>
      <c r="F18" s="4">
        <v>35028</v>
      </c>
      <c r="G18" s="2"/>
    </row>
    <row r="19" spans="1:7" x14ac:dyDescent="0.15">
      <c r="A19" s="8">
        <v>46085</v>
      </c>
      <c r="B19" s="2" t="s">
        <v>25</v>
      </c>
      <c r="C19" s="2" t="s">
        <v>26</v>
      </c>
      <c r="D19" s="2">
        <v>54</v>
      </c>
      <c r="E19" s="4">
        <f t="shared" si="0"/>
        <v>599</v>
      </c>
      <c r="F19" s="4">
        <v>32346</v>
      </c>
      <c r="G19" s="2"/>
    </row>
    <row r="20" spans="1:7" x14ac:dyDescent="0.15">
      <c r="A20" s="8"/>
      <c r="B20" s="2" t="s">
        <v>25</v>
      </c>
      <c r="C20" s="2" t="s">
        <v>10</v>
      </c>
      <c r="D20" s="2">
        <v>500</v>
      </c>
      <c r="E20" s="4">
        <f t="shared" si="0"/>
        <v>125</v>
      </c>
      <c r="F20" s="4">
        <v>62500</v>
      </c>
      <c r="G20" s="2"/>
    </row>
    <row r="21" spans="1:7" x14ac:dyDescent="0.15">
      <c r="A21" s="8"/>
      <c r="B21" s="5" t="s">
        <v>27</v>
      </c>
      <c r="C21" s="5" t="s">
        <v>26</v>
      </c>
      <c r="D21" s="5">
        <v>150</v>
      </c>
      <c r="E21" s="4"/>
      <c r="F21" s="6"/>
      <c r="G21" s="9" t="s">
        <v>28</v>
      </c>
    </row>
    <row r="22" spans="1:7" x14ac:dyDescent="0.15">
      <c r="A22" s="8"/>
      <c r="B22" s="5" t="s">
        <v>27</v>
      </c>
      <c r="C22" s="5" t="s">
        <v>29</v>
      </c>
      <c r="D22" s="5">
        <v>102</v>
      </c>
      <c r="E22" s="4"/>
      <c r="F22" s="6"/>
      <c r="G22" s="9" t="s">
        <v>28</v>
      </c>
    </row>
    <row r="23" spans="1:7" x14ac:dyDescent="0.15">
      <c r="A23" s="8">
        <v>46084</v>
      </c>
      <c r="B23" s="5" t="s">
        <v>27</v>
      </c>
      <c r="C23" s="5" t="s">
        <v>29</v>
      </c>
      <c r="D23" s="5">
        <v>48</v>
      </c>
      <c r="E23" s="4"/>
      <c r="F23" s="6"/>
      <c r="G23" s="9" t="s">
        <v>28</v>
      </c>
    </row>
    <row r="24" spans="1:7" x14ac:dyDescent="0.15">
      <c r="A24" s="8"/>
      <c r="B24" s="2" t="s">
        <v>27</v>
      </c>
      <c r="C24" s="2" t="s">
        <v>30</v>
      </c>
      <c r="D24" s="2">
        <v>480</v>
      </c>
      <c r="E24" s="4">
        <f t="shared" si="0"/>
        <v>165</v>
      </c>
      <c r="F24" s="4">
        <v>79200</v>
      </c>
      <c r="G24" s="2"/>
    </row>
    <row r="25" spans="1:7" x14ac:dyDescent="0.15">
      <c r="A25" s="8"/>
      <c r="B25" s="2" t="s">
        <v>7</v>
      </c>
      <c r="C25" s="2" t="s">
        <v>31</v>
      </c>
      <c r="D25" s="2">
        <v>96</v>
      </c>
      <c r="E25" s="4">
        <f t="shared" si="0"/>
        <v>931</v>
      </c>
      <c r="F25" s="4">
        <v>89376</v>
      </c>
      <c r="G25" s="2"/>
    </row>
    <row r="26" spans="1:7" x14ac:dyDescent="0.15">
      <c r="A26" s="8"/>
      <c r="B26" s="2" t="s">
        <v>32</v>
      </c>
      <c r="C26" s="2" t="s">
        <v>33</v>
      </c>
      <c r="D26" s="2">
        <v>100</v>
      </c>
      <c r="E26" s="4">
        <f t="shared" si="0"/>
        <v>599</v>
      </c>
      <c r="F26" s="4">
        <v>59900</v>
      </c>
      <c r="G26" s="2"/>
    </row>
    <row r="27" spans="1:7" x14ac:dyDescent="0.15">
      <c r="A27" s="8">
        <v>46063</v>
      </c>
      <c r="B27" s="2" t="s">
        <v>34</v>
      </c>
      <c r="C27" s="2" t="s">
        <v>16</v>
      </c>
      <c r="D27" s="2">
        <v>6</v>
      </c>
      <c r="E27" s="4">
        <f t="shared" si="0"/>
        <v>29.5</v>
      </c>
      <c r="F27" s="4">
        <v>177</v>
      </c>
      <c r="G27" s="4"/>
    </row>
    <row r="28" spans="1:7" x14ac:dyDescent="0.15">
      <c r="A28" s="8"/>
      <c r="B28" s="2" t="s">
        <v>34</v>
      </c>
      <c r="C28" s="2" t="s">
        <v>17</v>
      </c>
      <c r="D28" s="2">
        <v>6</v>
      </c>
      <c r="E28" s="4">
        <f t="shared" si="0"/>
        <v>106.5</v>
      </c>
      <c r="F28" s="4">
        <v>639</v>
      </c>
      <c r="G28" s="2"/>
    </row>
    <row r="29" spans="1:7" x14ac:dyDescent="0.15">
      <c r="A29" s="8"/>
      <c r="B29" s="2" t="s">
        <v>34</v>
      </c>
      <c r="C29" s="2" t="s">
        <v>35</v>
      </c>
      <c r="D29" s="2">
        <v>4</v>
      </c>
      <c r="E29" s="4">
        <f t="shared" si="0"/>
        <v>316</v>
      </c>
      <c r="F29" s="4">
        <v>1264</v>
      </c>
      <c r="G29" s="2"/>
    </row>
    <row r="30" spans="1:7" x14ac:dyDescent="0.15">
      <c r="A30" s="8"/>
      <c r="B30" s="2" t="s">
        <v>34</v>
      </c>
      <c r="C30" s="2" t="s">
        <v>36</v>
      </c>
      <c r="D30" s="2">
        <v>6</v>
      </c>
      <c r="E30" s="4">
        <f t="shared" si="0"/>
        <v>120</v>
      </c>
      <c r="F30" s="4">
        <v>720</v>
      </c>
      <c r="G30" s="2"/>
    </row>
    <row r="31" spans="1:7" x14ac:dyDescent="0.15">
      <c r="A31" s="8"/>
      <c r="B31" s="2" t="s">
        <v>34</v>
      </c>
      <c r="C31" s="2" t="s">
        <v>37</v>
      </c>
      <c r="D31" s="2">
        <v>6</v>
      </c>
      <c r="E31" s="4">
        <f t="shared" si="0"/>
        <v>160.33333333333334</v>
      </c>
      <c r="F31" s="4">
        <v>962</v>
      </c>
      <c r="G31" s="2"/>
    </row>
    <row r="32" spans="1:7" x14ac:dyDescent="0.15">
      <c r="A32" s="8"/>
      <c r="B32" s="2" t="s">
        <v>34</v>
      </c>
      <c r="C32" s="2" t="s">
        <v>38</v>
      </c>
      <c r="D32" s="2">
        <v>6</v>
      </c>
      <c r="E32" s="4">
        <f t="shared" si="0"/>
        <v>17.333333333333332</v>
      </c>
      <c r="F32" s="4">
        <v>104</v>
      </c>
      <c r="G32" s="2"/>
    </row>
    <row r="33" spans="1:7" x14ac:dyDescent="0.15">
      <c r="A33" s="8"/>
      <c r="B33" s="2" t="s">
        <v>34</v>
      </c>
      <c r="C33" s="2" t="s">
        <v>39</v>
      </c>
      <c r="D33" s="2">
        <v>6</v>
      </c>
      <c r="E33" s="4">
        <f t="shared" si="0"/>
        <v>15.833333333333334</v>
      </c>
      <c r="F33" s="4">
        <v>95</v>
      </c>
      <c r="G33" s="2"/>
    </row>
    <row r="34" spans="1:7" x14ac:dyDescent="0.15">
      <c r="A34" s="8"/>
      <c r="B34" s="2" t="s">
        <v>34</v>
      </c>
      <c r="C34" s="2" t="s">
        <v>18</v>
      </c>
      <c r="D34" s="2">
        <v>12</v>
      </c>
      <c r="E34" s="4">
        <f t="shared" si="0"/>
        <v>850</v>
      </c>
      <c r="F34" s="4">
        <v>10200</v>
      </c>
      <c r="G34" s="2"/>
    </row>
    <row r="35" spans="1:7" x14ac:dyDescent="0.15">
      <c r="A35" s="8"/>
      <c r="B35" s="2" t="s">
        <v>34</v>
      </c>
      <c r="C35" s="2" t="s">
        <v>18</v>
      </c>
      <c r="D35" s="2">
        <v>12</v>
      </c>
      <c r="E35" s="4">
        <f t="shared" si="0"/>
        <v>887.66666666666663</v>
      </c>
      <c r="F35" s="4">
        <v>10652</v>
      </c>
      <c r="G35" s="2"/>
    </row>
    <row r="36" spans="1:7" x14ac:dyDescent="0.15">
      <c r="A36" s="8"/>
      <c r="B36" s="2" t="s">
        <v>34</v>
      </c>
      <c r="C36" s="2" t="s">
        <v>40</v>
      </c>
      <c r="D36" s="2">
        <v>12</v>
      </c>
      <c r="E36" s="4">
        <f t="shared" si="0"/>
        <v>1114.4166666666667</v>
      </c>
      <c r="F36" s="4">
        <v>13373</v>
      </c>
      <c r="G36" s="2"/>
    </row>
    <row r="37" spans="1:7" x14ac:dyDescent="0.15">
      <c r="A37" s="8"/>
      <c r="B37" s="2" t="s">
        <v>34</v>
      </c>
      <c r="C37" s="2" t="s">
        <v>40</v>
      </c>
      <c r="D37" s="2">
        <v>12</v>
      </c>
      <c r="E37" s="4">
        <f t="shared" si="0"/>
        <v>1437</v>
      </c>
      <c r="F37" s="4">
        <v>17244</v>
      </c>
      <c r="G37" s="2"/>
    </row>
    <row r="38" spans="1:7" x14ac:dyDescent="0.15">
      <c r="A38" s="8"/>
      <c r="B38" s="2" t="s">
        <v>34</v>
      </c>
      <c r="C38" s="2" t="s">
        <v>41</v>
      </c>
      <c r="D38" s="2">
        <v>6</v>
      </c>
      <c r="E38" s="4">
        <f t="shared" si="0"/>
        <v>1562.6666666666667</v>
      </c>
      <c r="F38" s="4">
        <v>9376</v>
      </c>
      <c r="G38" s="2"/>
    </row>
    <row r="39" spans="1:7" x14ac:dyDescent="0.15">
      <c r="A39" s="8"/>
      <c r="B39" s="2" t="s">
        <v>34</v>
      </c>
      <c r="C39" s="2" t="s">
        <v>42</v>
      </c>
      <c r="D39" s="2">
        <v>6</v>
      </c>
      <c r="E39" s="4">
        <f t="shared" si="0"/>
        <v>720</v>
      </c>
      <c r="F39" s="4">
        <v>4320</v>
      </c>
      <c r="G39" s="2"/>
    </row>
    <row r="40" spans="1:7" x14ac:dyDescent="0.15">
      <c r="A40" s="8"/>
      <c r="B40" s="2" t="s">
        <v>34</v>
      </c>
      <c r="C40" s="2" t="s">
        <v>43</v>
      </c>
      <c r="D40" s="2">
        <v>6</v>
      </c>
      <c r="E40" s="4">
        <f t="shared" si="0"/>
        <v>513.66666666666663</v>
      </c>
      <c r="F40" s="4">
        <v>3082</v>
      </c>
      <c r="G40" s="2"/>
    </row>
    <row r="41" spans="1:7" x14ac:dyDescent="0.15">
      <c r="A41" s="8"/>
      <c r="B41" s="2" t="s">
        <v>5</v>
      </c>
      <c r="C41" s="2" t="s">
        <v>14</v>
      </c>
      <c r="D41" s="2">
        <v>240</v>
      </c>
      <c r="E41" s="4">
        <f t="shared" si="0"/>
        <v>307</v>
      </c>
      <c r="F41" s="4">
        <v>73680</v>
      </c>
      <c r="G41" s="2"/>
    </row>
    <row r="42" spans="1:7" x14ac:dyDescent="0.15">
      <c r="A42" s="8"/>
      <c r="B42" s="2" t="s">
        <v>25</v>
      </c>
      <c r="C42" s="2" t="s">
        <v>44</v>
      </c>
      <c r="D42" s="2">
        <v>350</v>
      </c>
      <c r="E42" s="4">
        <f t="shared" si="0"/>
        <v>249</v>
      </c>
      <c r="F42" s="4">
        <v>87150</v>
      </c>
      <c r="G42" s="2"/>
    </row>
    <row r="43" spans="1:7" x14ac:dyDescent="0.15">
      <c r="A43" s="8"/>
      <c r="B43" s="2" t="s">
        <v>45</v>
      </c>
      <c r="C43" s="2" t="s">
        <v>12</v>
      </c>
      <c r="D43" s="2">
        <v>10</v>
      </c>
      <c r="E43" s="4">
        <f t="shared" si="0"/>
        <v>30</v>
      </c>
      <c r="F43" s="4">
        <v>300</v>
      </c>
      <c r="G43" s="2"/>
    </row>
    <row r="44" spans="1:7" x14ac:dyDescent="0.15">
      <c r="A44" s="8"/>
      <c r="B44" s="2" t="s">
        <v>11</v>
      </c>
      <c r="C44" s="2" t="s">
        <v>12</v>
      </c>
      <c r="D44" s="2">
        <v>25</v>
      </c>
      <c r="E44" s="4">
        <f t="shared" si="0"/>
        <v>30</v>
      </c>
      <c r="F44" s="4">
        <v>750</v>
      </c>
      <c r="G44" s="2"/>
    </row>
    <row r="45" spans="1:7" x14ac:dyDescent="0.15">
      <c r="A45" s="8"/>
      <c r="B45" s="2" t="s">
        <v>5</v>
      </c>
      <c r="C45" s="2" t="s">
        <v>30</v>
      </c>
      <c r="D45" s="2">
        <v>240</v>
      </c>
      <c r="E45" s="4">
        <f t="shared" si="0"/>
        <v>165</v>
      </c>
      <c r="F45" s="4">
        <v>39600</v>
      </c>
      <c r="G45" s="2"/>
    </row>
    <row r="46" spans="1:7" x14ac:dyDescent="0.15">
      <c r="A46" s="8"/>
      <c r="B46" s="2" t="s">
        <v>5</v>
      </c>
      <c r="C46" s="2" t="s">
        <v>8</v>
      </c>
      <c r="D46" s="2">
        <v>32</v>
      </c>
      <c r="E46" s="4">
        <f t="shared" si="0"/>
        <v>649</v>
      </c>
      <c r="F46" s="4">
        <v>20768</v>
      </c>
      <c r="G46" s="2"/>
    </row>
    <row r="47" spans="1:7" x14ac:dyDescent="0.15">
      <c r="A47" s="8">
        <v>46058</v>
      </c>
      <c r="B47" s="2" t="s">
        <v>27</v>
      </c>
      <c r="C47" s="2" t="s">
        <v>46</v>
      </c>
      <c r="D47" s="2">
        <v>20</v>
      </c>
      <c r="E47" s="4">
        <f t="shared" si="0"/>
        <v>50</v>
      </c>
      <c r="F47" s="4">
        <v>1000</v>
      </c>
      <c r="G47" s="2"/>
    </row>
    <row r="48" spans="1:7" x14ac:dyDescent="0.15">
      <c r="A48" s="8"/>
      <c r="B48" s="2" t="s">
        <v>47</v>
      </c>
      <c r="C48" s="2" t="s">
        <v>48</v>
      </c>
      <c r="D48" s="2">
        <v>15</v>
      </c>
      <c r="E48" s="4">
        <f t="shared" si="0"/>
        <v>43</v>
      </c>
      <c r="F48" s="4">
        <v>645</v>
      </c>
      <c r="G48" s="2"/>
    </row>
    <row r="49" spans="1:7" x14ac:dyDescent="0.15">
      <c r="A49" s="8"/>
      <c r="B49" s="2" t="s">
        <v>47</v>
      </c>
      <c r="C49" s="2" t="s">
        <v>49</v>
      </c>
      <c r="D49" s="2">
        <v>5</v>
      </c>
      <c r="E49" s="4">
        <f t="shared" si="0"/>
        <v>165</v>
      </c>
      <c r="F49" s="4">
        <v>825</v>
      </c>
      <c r="G49" s="2"/>
    </row>
    <row r="50" spans="1:7" x14ac:dyDescent="0.15">
      <c r="A50" s="8"/>
      <c r="B50" s="2" t="s">
        <v>47</v>
      </c>
      <c r="C50" s="2" t="s">
        <v>46</v>
      </c>
      <c r="D50" s="2">
        <v>20</v>
      </c>
      <c r="E50" s="4">
        <f t="shared" si="0"/>
        <v>50</v>
      </c>
      <c r="F50" s="4">
        <v>1000</v>
      </c>
      <c r="G50" s="2"/>
    </row>
    <row r="51" spans="1:7" x14ac:dyDescent="0.15">
      <c r="A51" s="8"/>
      <c r="B51" s="2" t="s">
        <v>50</v>
      </c>
      <c r="C51" s="2" t="s">
        <v>16</v>
      </c>
      <c r="D51" s="2">
        <v>18</v>
      </c>
      <c r="E51" s="4">
        <f t="shared" si="0"/>
        <v>29.5</v>
      </c>
      <c r="F51" s="4">
        <v>531</v>
      </c>
      <c r="G51" s="4"/>
    </row>
    <row r="52" spans="1:7" x14ac:dyDescent="0.15">
      <c r="A52" s="8"/>
      <c r="B52" s="2" t="s">
        <v>50</v>
      </c>
      <c r="C52" s="2" t="s">
        <v>38</v>
      </c>
      <c r="D52" s="2">
        <v>18</v>
      </c>
      <c r="E52" s="4">
        <f t="shared" si="0"/>
        <v>17.277777777777779</v>
      </c>
      <c r="F52" s="4">
        <v>311</v>
      </c>
      <c r="G52" s="2"/>
    </row>
    <row r="53" spans="1:7" x14ac:dyDescent="0.15">
      <c r="A53" s="8"/>
      <c r="B53" s="2" t="s">
        <v>50</v>
      </c>
      <c r="C53" s="2" t="s">
        <v>39</v>
      </c>
      <c r="D53" s="2">
        <v>18</v>
      </c>
      <c r="E53" s="4">
        <f t="shared" si="0"/>
        <v>15.888888888888889</v>
      </c>
      <c r="F53" s="4">
        <v>286</v>
      </c>
      <c r="G53" s="2"/>
    </row>
    <row r="54" spans="1:7" x14ac:dyDescent="0.15">
      <c r="A54" s="8"/>
      <c r="B54" s="2" t="s">
        <v>50</v>
      </c>
      <c r="C54" s="2" t="s">
        <v>18</v>
      </c>
      <c r="D54" s="2">
        <v>36</v>
      </c>
      <c r="E54" s="4">
        <f t="shared" si="0"/>
        <v>887.63888888888891</v>
      </c>
      <c r="F54" s="4">
        <v>31955</v>
      </c>
      <c r="G54" s="2"/>
    </row>
    <row r="55" spans="1:7" x14ac:dyDescent="0.15">
      <c r="A55" s="8"/>
      <c r="B55" s="2" t="s">
        <v>50</v>
      </c>
      <c r="C55" s="2" t="s">
        <v>42</v>
      </c>
      <c r="D55" s="2">
        <v>18</v>
      </c>
      <c r="E55" s="4">
        <f t="shared" si="0"/>
        <v>720.05555555555554</v>
      </c>
      <c r="F55" s="4">
        <v>12961</v>
      </c>
      <c r="G55" s="2"/>
    </row>
    <row r="56" spans="1:7" x14ac:dyDescent="0.15">
      <c r="A56" s="8"/>
      <c r="B56" s="2" t="s">
        <v>51</v>
      </c>
      <c r="C56" s="2" t="s">
        <v>52</v>
      </c>
      <c r="D56" s="2">
        <v>46</v>
      </c>
      <c r="E56" s="4">
        <f t="shared" si="0"/>
        <v>86</v>
      </c>
      <c r="F56" s="4">
        <v>3956</v>
      </c>
      <c r="G56" s="2"/>
    </row>
    <row r="57" spans="1:7" x14ac:dyDescent="0.15">
      <c r="A57" s="8"/>
      <c r="B57" s="2" t="s">
        <v>51</v>
      </c>
      <c r="C57" s="2" t="s">
        <v>18</v>
      </c>
      <c r="D57" s="2">
        <v>12</v>
      </c>
      <c r="E57" s="4">
        <f t="shared" si="0"/>
        <v>850</v>
      </c>
      <c r="F57" s="4">
        <v>10200</v>
      </c>
      <c r="G57" s="2"/>
    </row>
    <row r="58" spans="1:7" x14ac:dyDescent="0.15">
      <c r="A58" s="8"/>
      <c r="B58" s="2" t="s">
        <v>53</v>
      </c>
      <c r="C58" s="2" t="s">
        <v>54</v>
      </c>
      <c r="D58" s="2">
        <v>60</v>
      </c>
      <c r="E58" s="4">
        <f t="shared" si="0"/>
        <v>931</v>
      </c>
      <c r="F58" s="4">
        <v>55860</v>
      </c>
      <c r="G58" s="2"/>
    </row>
    <row r="59" spans="1:7" x14ac:dyDescent="0.15">
      <c r="A59" s="8"/>
      <c r="B59" s="2" t="s">
        <v>55</v>
      </c>
      <c r="C59" s="2" t="s">
        <v>54</v>
      </c>
      <c r="D59" s="2">
        <v>120</v>
      </c>
      <c r="E59" s="4">
        <f t="shared" si="0"/>
        <v>931</v>
      </c>
      <c r="F59" s="4">
        <v>111720</v>
      </c>
      <c r="G59" s="2"/>
    </row>
    <row r="60" spans="1:7" x14ac:dyDescent="0.15">
      <c r="A60" s="8">
        <v>46052</v>
      </c>
      <c r="B60" s="2" t="s">
        <v>5</v>
      </c>
      <c r="C60" s="2" t="s">
        <v>56</v>
      </c>
      <c r="D60" s="2">
        <v>420</v>
      </c>
      <c r="E60" s="4">
        <f t="shared" si="0"/>
        <v>376</v>
      </c>
      <c r="F60" s="4">
        <v>157920</v>
      </c>
      <c r="G60" s="2"/>
    </row>
    <row r="61" spans="1:7" x14ac:dyDescent="0.15">
      <c r="A61" s="8"/>
      <c r="B61" s="5" t="s">
        <v>5</v>
      </c>
      <c r="C61" s="5" t="s">
        <v>35</v>
      </c>
      <c r="D61" s="5">
        <v>2</v>
      </c>
      <c r="E61" s="4"/>
      <c r="F61" s="6"/>
      <c r="G61" s="9" t="s">
        <v>57</v>
      </c>
    </row>
    <row r="62" spans="1:7" x14ac:dyDescent="0.15">
      <c r="A62" s="8"/>
      <c r="B62" s="2" t="s">
        <v>5</v>
      </c>
      <c r="C62" s="2" t="s">
        <v>8</v>
      </c>
      <c r="D62" s="2">
        <v>32</v>
      </c>
      <c r="E62" s="4">
        <f t="shared" si="0"/>
        <v>649</v>
      </c>
      <c r="F62" s="4">
        <v>20768</v>
      </c>
      <c r="G62" s="2"/>
    </row>
    <row r="63" spans="1:7" x14ac:dyDescent="0.15">
      <c r="A63" s="8"/>
      <c r="B63" s="2" t="s">
        <v>5</v>
      </c>
      <c r="C63" s="2" t="s">
        <v>9</v>
      </c>
      <c r="D63" s="2">
        <v>312</v>
      </c>
      <c r="E63" s="4">
        <f t="shared" si="0"/>
        <v>599</v>
      </c>
      <c r="F63" s="4">
        <v>186888</v>
      </c>
      <c r="G63" s="2"/>
    </row>
    <row r="64" spans="1:7" x14ac:dyDescent="0.15">
      <c r="A64" s="8">
        <v>46045</v>
      </c>
      <c r="B64" s="2" t="s">
        <v>5</v>
      </c>
      <c r="C64" s="2" t="s">
        <v>8</v>
      </c>
      <c r="D64" s="2">
        <v>112</v>
      </c>
      <c r="E64" s="4">
        <f t="shared" si="0"/>
        <v>649</v>
      </c>
      <c r="F64" s="4">
        <v>72688</v>
      </c>
      <c r="G64" s="2"/>
    </row>
    <row r="65" spans="1:7" x14ac:dyDescent="0.15">
      <c r="A65" s="8"/>
      <c r="B65" s="2" t="s">
        <v>55</v>
      </c>
      <c r="C65" s="2" t="s">
        <v>58</v>
      </c>
      <c r="D65" s="2">
        <v>240</v>
      </c>
      <c r="E65" s="4">
        <f t="shared" si="0"/>
        <v>157</v>
      </c>
      <c r="F65" s="4">
        <v>37680</v>
      </c>
      <c r="G65" s="2"/>
    </row>
    <row r="66" spans="1:7" x14ac:dyDescent="0.15">
      <c r="A66" s="8"/>
      <c r="B66" s="2" t="s">
        <v>55</v>
      </c>
      <c r="C66" s="2" t="s">
        <v>59</v>
      </c>
      <c r="D66" s="2">
        <v>200</v>
      </c>
      <c r="E66" s="4">
        <f t="shared" si="0"/>
        <v>237</v>
      </c>
      <c r="F66" s="4">
        <v>47400</v>
      </c>
      <c r="G66" s="2"/>
    </row>
    <row r="67" spans="1:7" x14ac:dyDescent="0.15">
      <c r="A67" s="8"/>
      <c r="B67" s="2" t="s">
        <v>25</v>
      </c>
      <c r="C67" s="2" t="s">
        <v>60</v>
      </c>
      <c r="D67" s="2">
        <v>24</v>
      </c>
      <c r="E67" s="4">
        <f t="shared" ref="E67:E79" si="1">F67/D67</f>
        <v>859</v>
      </c>
      <c r="F67" s="4">
        <v>20616</v>
      </c>
      <c r="G67" s="2"/>
    </row>
    <row r="68" spans="1:7" x14ac:dyDescent="0.15">
      <c r="A68" s="8"/>
      <c r="B68" s="2" t="s">
        <v>61</v>
      </c>
      <c r="C68" s="2" t="s">
        <v>33</v>
      </c>
      <c r="D68" s="2">
        <v>72</v>
      </c>
      <c r="E68" s="4">
        <f t="shared" si="1"/>
        <v>599</v>
      </c>
      <c r="F68" s="4">
        <v>43128</v>
      </c>
      <c r="G68" s="2"/>
    </row>
    <row r="69" spans="1:7" x14ac:dyDescent="0.15">
      <c r="A69" s="8"/>
      <c r="B69" s="2" t="s">
        <v>62</v>
      </c>
      <c r="C69" s="2" t="s">
        <v>29</v>
      </c>
      <c r="D69" s="2">
        <v>24</v>
      </c>
      <c r="E69" s="4"/>
      <c r="F69" s="4"/>
      <c r="G69" s="3" t="s">
        <v>28</v>
      </c>
    </row>
    <row r="70" spans="1:7" x14ac:dyDescent="0.15">
      <c r="A70" s="8"/>
      <c r="B70" s="2" t="s">
        <v>62</v>
      </c>
      <c r="C70" s="2" t="s">
        <v>60</v>
      </c>
      <c r="D70" s="2">
        <v>24</v>
      </c>
      <c r="E70" s="4"/>
      <c r="F70" s="4"/>
      <c r="G70" s="3" t="s">
        <v>28</v>
      </c>
    </row>
    <row r="71" spans="1:7" x14ac:dyDescent="0.15">
      <c r="A71" s="8">
        <v>46043</v>
      </c>
      <c r="B71" s="2" t="s">
        <v>63</v>
      </c>
      <c r="C71" s="2" t="s">
        <v>16</v>
      </c>
      <c r="D71" s="2">
        <v>8</v>
      </c>
      <c r="E71" s="4">
        <f t="shared" si="1"/>
        <v>29.5</v>
      </c>
      <c r="F71" s="4">
        <v>236</v>
      </c>
      <c r="G71" s="4"/>
    </row>
    <row r="72" spans="1:7" x14ac:dyDescent="0.15">
      <c r="A72" s="8"/>
      <c r="B72" s="2" t="s">
        <v>63</v>
      </c>
      <c r="C72" s="2" t="s">
        <v>38</v>
      </c>
      <c r="D72" s="2">
        <v>8</v>
      </c>
      <c r="E72" s="4">
        <f t="shared" si="1"/>
        <v>17.25</v>
      </c>
      <c r="F72" s="4">
        <v>138</v>
      </c>
      <c r="G72" s="2"/>
    </row>
    <row r="73" spans="1:7" x14ac:dyDescent="0.15">
      <c r="A73" s="8"/>
      <c r="B73" s="2" t="s">
        <v>63</v>
      </c>
      <c r="C73" s="2" t="s">
        <v>39</v>
      </c>
      <c r="D73" s="2">
        <v>8</v>
      </c>
      <c r="E73" s="4">
        <f t="shared" si="1"/>
        <v>15.875</v>
      </c>
      <c r="F73" s="4">
        <v>127</v>
      </c>
      <c r="G73" s="2"/>
    </row>
    <row r="74" spans="1:7" x14ac:dyDescent="0.15">
      <c r="A74" s="8"/>
      <c r="B74" s="5" t="s">
        <v>63</v>
      </c>
      <c r="C74" s="5" t="s">
        <v>29</v>
      </c>
      <c r="D74" s="5">
        <v>96</v>
      </c>
      <c r="E74" s="4"/>
      <c r="F74" s="6"/>
      <c r="G74" s="9" t="s">
        <v>28</v>
      </c>
    </row>
    <row r="75" spans="1:7" x14ac:dyDescent="0.15">
      <c r="A75" s="8"/>
      <c r="B75" s="5" t="s">
        <v>63</v>
      </c>
      <c r="C75" s="5" t="s">
        <v>60</v>
      </c>
      <c r="D75" s="5">
        <v>96</v>
      </c>
      <c r="E75" s="4"/>
      <c r="F75" s="6"/>
      <c r="G75" s="9" t="s">
        <v>28</v>
      </c>
    </row>
    <row r="76" spans="1:7" x14ac:dyDescent="0.15">
      <c r="A76" s="8"/>
      <c r="B76" s="2" t="s">
        <v>63</v>
      </c>
      <c r="C76" s="2" t="s">
        <v>33</v>
      </c>
      <c r="D76" s="2">
        <v>36</v>
      </c>
      <c r="E76" s="4">
        <f t="shared" si="1"/>
        <v>599</v>
      </c>
      <c r="F76" s="4">
        <v>21564</v>
      </c>
      <c r="G76" s="2"/>
    </row>
    <row r="77" spans="1:7" x14ac:dyDescent="0.15">
      <c r="A77" s="8"/>
      <c r="B77" s="2" t="s">
        <v>63</v>
      </c>
      <c r="C77" s="2" t="s">
        <v>18</v>
      </c>
      <c r="D77" s="2">
        <v>8</v>
      </c>
      <c r="E77" s="4">
        <f t="shared" si="1"/>
        <v>850</v>
      </c>
      <c r="F77" s="4">
        <v>6800</v>
      </c>
      <c r="G77" s="2"/>
    </row>
    <row r="78" spans="1:7" x14ac:dyDescent="0.15">
      <c r="A78" s="8"/>
      <c r="B78" s="2" t="s">
        <v>63</v>
      </c>
      <c r="C78" s="2" t="s">
        <v>18</v>
      </c>
      <c r="D78" s="2">
        <v>16</v>
      </c>
      <c r="E78" s="4">
        <f t="shared" si="1"/>
        <v>887.625</v>
      </c>
      <c r="F78" s="4">
        <v>14202</v>
      </c>
      <c r="G78" s="2"/>
    </row>
    <row r="79" spans="1:7" x14ac:dyDescent="0.15">
      <c r="A79" s="8"/>
      <c r="B79" s="2" t="s">
        <v>63</v>
      </c>
      <c r="C79" s="2" t="s">
        <v>42</v>
      </c>
      <c r="D79" s="2">
        <v>8</v>
      </c>
      <c r="E79" s="4">
        <f t="shared" si="1"/>
        <v>720.125</v>
      </c>
      <c r="F79" s="4">
        <v>5761</v>
      </c>
      <c r="G79" s="2"/>
    </row>
    <row r="80" spans="1:7" x14ac:dyDescent="0.15">
      <c r="A80" s="2"/>
      <c r="B80" s="2"/>
      <c r="C80" s="2"/>
      <c r="D80" s="2"/>
      <c r="E80" s="2"/>
      <c r="F80" s="4">
        <f>SUM(F2:F79)</f>
        <v>1902742</v>
      </c>
      <c r="G80" s="2"/>
    </row>
  </sheetData>
  <autoFilter ref="A1:G79" xr:uid="{00000000-0009-0000-0000-000000000000}"/>
  <mergeCells count="9">
    <mergeCell ref="A47:A59"/>
    <mergeCell ref="A60:A63"/>
    <mergeCell ref="A64:A70"/>
    <mergeCell ref="A71:A79"/>
    <mergeCell ref="A2:A5"/>
    <mergeCell ref="A6:A18"/>
    <mergeCell ref="A19:A22"/>
    <mergeCell ref="A23:A26"/>
    <mergeCell ref="A27:A46"/>
  </mergeCells>
  <phoneticPr fontId="4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</dc:creator>
  <cp:lastModifiedBy>WT</cp:lastModifiedBy>
  <dcterms:created xsi:type="dcterms:W3CDTF">2026-03-25T08:22:00Z</dcterms:created>
  <dcterms:modified xsi:type="dcterms:W3CDTF">2026-04-02T01:27:07Z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7F860CA9338C4F9C8FFD5C7E97160A95_13</vt:lpwstr>
  </property>
  <property fmtid="{D5CDD505-2E9C-101B-9397-08002B2CF9AE}" pid="3" name="KSOProductBuildVer">
    <vt:lpwstr>2052-12.1.0.21541</vt:lpwstr>
  </property>
</Properties>
</file>